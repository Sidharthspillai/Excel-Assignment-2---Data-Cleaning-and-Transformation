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ave\Downloads\DATA ANALYTICS ASSIGNMENTS\"/>
    </mc:Choice>
  </mc:AlternateContent>
  <xr:revisionPtr revIDLastSave="0" documentId="8_{AD239E5B-3174-4C57-8675-7EB7367115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3" r:id="rId3"/>
    <sheet name="Summary" sheetId="5" r:id="rId4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3" l="1"/>
  <c r="G2" i="3"/>
  <c r="M1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M23" i="3"/>
  <c r="M21" i="3"/>
</calcChain>
</file>

<file path=xl/sharedStrings.xml><?xml version="1.0" encoding="utf-8"?>
<sst xmlns="http://schemas.openxmlformats.org/spreadsheetml/2006/main" count="324" uniqueCount="148">
  <si>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</si>
  <si>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</si>
  <si>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</si>
  <si>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</si>
  <si>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</si>
  <si>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</si>
  <si>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</si>
  <si>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</si>
  <si>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</si>
  <si>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</si>
  <si>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</si>
  <si>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</si>
  <si>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</si>
  <si>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</si>
  <si>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</si>
  <si>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</si>
  <si>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</si>
  <si>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</si>
  <si>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</si>
  <si>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</si>
  <si>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</si>
  <si>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</si>
  <si>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</si>
  <si>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</si>
  <si>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</si>
  <si>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</si>
  <si>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</si>
  <si>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</si>
  <si>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</si>
  <si>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</si>
  <si>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</si>
  <si>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</si>
  <si>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</si>
  <si>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</si>
  <si>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</si>
  <si>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</si>
  <si>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</si>
  <si>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</si>
  <si>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</si>
  <si>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</si>
  <si>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</si>
  <si>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</si>
  <si>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</si>
  <si>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</si>
  <si>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</si>
  <si>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</si>
  <si>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</si>
  <si>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</si>
  <si>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</si>
  <si>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</si>
  <si>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</si>
  <si>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</si>
  <si>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</si>
  <si>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</si>
  <si>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</si>
  <si>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</si>
  <si>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</si>
  <si>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</si>
  <si>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</si>
  <si>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</si>
  <si>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</si>
  <si>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</si>
  <si>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</si>
  <si>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</si>
  <si>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</si>
  <si>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</si>
  <si>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</si>
  <si>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</si>
  <si>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</si>
  <si>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</si>
  <si>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</si>
  <si>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</si>
  <si>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</si>
  <si>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</si>
  <si>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</si>
  <si>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</si>
  <si>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</si>
  <si>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</si>
  <si>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</si>
  <si>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</si>
  <si>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</si>
  <si>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</si>
  <si>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</si>
  <si>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</si>
  <si>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</si>
  <si>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</si>
  <si>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</si>
  <si>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</si>
  <si>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</si>
  <si>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</si>
  <si>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</si>
  <si>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</si>
  <si>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</si>
  <si>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</si>
  <si>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</si>
  <si>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</si>
  <si>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</si>
  <si>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</si>
  <si>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</si>
  <si>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</si>
  <si>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</si>
  <si>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</si>
  <si>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</si>
  <si>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</si>
  <si>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</si>
  <si>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</si>
  <si>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</si>
  <si>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</si>
  <si>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</si>
  <si>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</si>
  <si>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</si>
  <si>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</si>
  <si>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</si>
  <si>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</si>
  <si>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</si>
  <si>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</si>
  <si>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</si>
  <si>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Median imputation</t>
  </si>
  <si>
    <t>Missing Category</t>
  </si>
  <si>
    <t>Imputed from product type</t>
  </si>
  <si>
    <t>Corrected</t>
  </si>
  <si>
    <t>Backpack , Sneakers → Fashion  Coffee Maker, Fitness Tracker → Electronics. Also highlighted in Gold color</t>
  </si>
  <si>
    <t>"Electroni" → "Electronics". , Also highlighted in Teal color</t>
  </si>
  <si>
    <t>Category Type</t>
  </si>
  <si>
    <t>Product Name Format</t>
  </si>
  <si>
    <t>Standardized</t>
  </si>
  <si>
    <t>Duplicates</t>
  </si>
  <si>
    <t>Removed</t>
  </si>
  <si>
    <t>​</t>
  </si>
  <si>
    <t>Camping Tent coleman Price</t>
  </si>
  <si>
    <t>Ray-Ban Sunglasses Price</t>
  </si>
  <si>
    <t>Sony Headphone Price</t>
  </si>
  <si>
    <t>Manufacturing Date</t>
  </si>
  <si>
    <t>Country Code</t>
  </si>
  <si>
    <t>Product Brand</t>
  </si>
  <si>
    <t>2) Correcting Inconsistent Data</t>
  </si>
  <si>
    <t>Product names converted to consistent Title Case ( laptop → Laptop, smartphone → Smartphone, headphones →Headphones).</t>
  </si>
  <si>
    <t>3 exact duplicate rows removed. Total rows now = 31 (excluded headings).</t>
  </si>
  <si>
    <t xml:space="preserve">Created a new column , named Product Brand - Used CONCAT formula to merge "Brand Name" and "Product Name"  </t>
  </si>
  <si>
    <t>Assumed Manufacturing Year: 2024 ( Year is not mentioned in the dataset so assumed it)</t>
  </si>
  <si>
    <t>Price column ($) is formatted as currency</t>
  </si>
  <si>
    <t xml:space="preserve">Converted Manufacturing Dat column to display dates in the "DD-MM-YYYY " format. </t>
  </si>
  <si>
    <t xml:space="preserve"> A data bar conditional format on 'Price ($)' visualizes relative magnitude at a glance.</t>
  </si>
  <si>
    <t xml:space="preserve"> A custom conditional formatting rule highlights every row where 'Category' = "Electronics".</t>
  </si>
  <si>
    <r>
      <t xml:space="preserve">Used formula DATE </t>
    </r>
    <r>
      <rPr>
        <b/>
        <sz val="12"/>
        <color rgb="FF000000"/>
        <rFont val="Times New Roman"/>
        <family val="1"/>
      </rPr>
      <t>(DATE(2024,MATCH(MID(A2,4,3),{"JAN","FEB","MAR","APR","MAY","JUN","JUL","AUG","SEP","OCT","NOV","DEC"},0),VALUE(LEFT(A2,2)</t>
    </r>
    <r>
      <rPr>
        <sz val="12"/>
        <color rgb="FF000000"/>
        <rFont val="Times New Roman"/>
        <family val="1"/>
      </rPr>
      <t xml:space="preserve">)))to create Manufacturing Date column </t>
    </r>
  </si>
  <si>
    <r>
      <t xml:space="preserve">Used </t>
    </r>
    <r>
      <rPr>
        <b/>
        <sz val="12"/>
        <color rgb="FF000000"/>
        <rFont val="Times New Roman"/>
        <family val="1"/>
      </rPr>
      <t xml:space="preserve">RIGHT </t>
    </r>
    <r>
      <rPr>
        <sz val="12"/>
        <color rgb="FF000000"/>
        <rFont val="Times New Roman"/>
        <family val="1"/>
      </rPr>
      <t xml:space="preserve">formula to build Country Code formula - =RIGHT(A3,2) </t>
    </r>
  </si>
  <si>
    <t>Excel Assignment 2 – Data Cleaning &amp; Transformation</t>
  </si>
  <si>
    <t>"Filled missing prices using category-wise averages via AVERAGEIF formula: Sony Headphones = $522.30 (Electronics), Coleman Camping Tent = $130.00 (Outdoor), and Ray-Ban Sunglasses = $75.71 (Fashion). Highlighted in yellow color."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</si>
</sst>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409]#,##0.00"/>
    <numFmt numFmtId="169" formatCode="[$$-409]#,##0.00_ ;\-[$$-409]#,##0.00\ "/>
  </numFmts>
  <fonts count="2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22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3"/>
      <name val="Times New Roman"/>
      <family val="1"/>
    </font>
    <font>
      <sz val="10"/>
      <color theme="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E0F7FA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rgb="FF4DD0E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8" fillId="3" borderId="0" xfId="0" applyFont="1" applyFill="1"/>
    <xf numFmtId="0" fontId="10" fillId="0" borderId="0" xfId="0" applyFont="1"/>
    <xf numFmtId="0" fontId="10" fillId="0" borderId="2" xfId="0" applyFont="1" applyBorder="1"/>
    <xf numFmtId="0" fontId="11" fillId="0" borderId="0" xfId="0" applyFont="1"/>
    <xf numFmtId="0" fontId="12" fillId="0" borderId="2" xfId="0" applyFont="1" applyBorder="1"/>
    <xf numFmtId="0" fontId="12" fillId="0" borderId="0" xfId="0" applyFont="1"/>
    <xf numFmtId="0" fontId="16" fillId="0" borderId="0" xfId="0" applyFont="1"/>
    <xf numFmtId="0" fontId="16" fillId="0" borderId="1" xfId="0" applyNumberFormat="1" applyFont="1" applyBorder="1" applyAlignment="1">
      <alignment vertical="top" wrapText="1"/>
    </xf>
    <xf numFmtId="0" fontId="16" fillId="0" borderId="2" xfId="0" applyFont="1" applyBorder="1"/>
    <xf numFmtId="0" fontId="16" fillId="0" borderId="1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6" fillId="6" borderId="2" xfId="0" applyFont="1" applyFill="1" applyBorder="1"/>
    <xf numFmtId="0" fontId="17" fillId="0" borderId="2" xfId="0" applyFont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16" fillId="8" borderId="5" xfId="0" applyFont="1" applyFill="1" applyBorder="1" applyAlignment="1">
      <alignment horizontal="left" vertical="top" wrapText="1"/>
    </xf>
    <xf numFmtId="0" fontId="16" fillId="8" borderId="4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11" borderId="7" xfId="0" applyFont="1" applyFill="1" applyBorder="1" applyAlignment="1">
      <alignment horizontal="left" vertical="top" wrapText="1"/>
    </xf>
    <xf numFmtId="0" fontId="17" fillId="11" borderId="9" xfId="0" applyFont="1" applyFill="1" applyBorder="1" applyAlignment="1">
      <alignment horizontal="left" vertical="top" wrapText="1"/>
    </xf>
    <xf numFmtId="0" fontId="17" fillId="11" borderId="6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11" borderId="8" xfId="0" applyFont="1" applyFill="1" applyBorder="1" applyAlignment="1">
      <alignment horizontal="left" vertical="top" wrapText="1"/>
    </xf>
    <xf numFmtId="0" fontId="16" fillId="0" borderId="5" xfId="0" applyFont="1" applyBorder="1" applyAlignment="1">
      <alignment horizontal="center"/>
    </xf>
    <xf numFmtId="0" fontId="18" fillId="0" borderId="2" xfId="0" applyFont="1" applyBorder="1"/>
    <xf numFmtId="0" fontId="16" fillId="0" borderId="0" xfId="0" applyFont="1" applyAlignment="1">
      <alignment horizontal="left"/>
    </xf>
    <xf numFmtId="0" fontId="9" fillId="13" borderId="2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left" vertical="center"/>
    </xf>
    <xf numFmtId="0" fontId="16" fillId="0" borderId="4" xfId="0" applyFont="1" applyBorder="1" applyAlignment="1"/>
    <xf numFmtId="0" fontId="9" fillId="13" borderId="2" xfId="0" applyFont="1" applyFill="1" applyBorder="1"/>
    <xf numFmtId="0" fontId="15" fillId="13" borderId="2" xfId="0" applyFont="1" applyFill="1" applyBorder="1"/>
    <xf numFmtId="0" fontId="14" fillId="13" borderId="3" xfId="0" applyFont="1" applyFill="1" applyBorder="1" applyAlignment="1"/>
    <xf numFmtId="0" fontId="16" fillId="0" borderId="2" xfId="0" applyFont="1" applyBorder="1" applyAlignment="1"/>
    <xf numFmtId="0" fontId="20" fillId="13" borderId="0" xfId="0" applyFont="1" applyFill="1" applyAlignment="1">
      <alignment horizontal="center" vertical="center"/>
    </xf>
    <xf numFmtId="0" fontId="16" fillId="0" borderId="0" xfId="0" applyFont="1" applyBorder="1"/>
    <xf numFmtId="0" fontId="21" fillId="2" borderId="2" xfId="0" applyFont="1" applyFill="1" applyBorder="1" applyAlignment="1">
      <alignment horizontal="center"/>
    </xf>
    <xf numFmtId="169" fontId="21" fillId="2" borderId="2" xfId="0" applyNumberFormat="1" applyFont="1" applyFill="1" applyBorder="1" applyAlignment="1">
      <alignment horizontal="center"/>
    </xf>
    <xf numFmtId="0" fontId="22" fillId="9" borderId="2" xfId="0" applyFont="1" applyFill="1" applyBorder="1" applyAlignment="1">
      <alignment horizontal="center"/>
    </xf>
    <xf numFmtId="0" fontId="13" fillId="10" borderId="2" xfId="0" applyFont="1" applyFill="1" applyBorder="1"/>
    <xf numFmtId="169" fontId="12" fillId="0" borderId="2" xfId="0" applyNumberFormat="1" applyFont="1" applyBorder="1"/>
    <xf numFmtId="0" fontId="12" fillId="11" borderId="2" xfId="0" applyFont="1" applyFill="1" applyBorder="1"/>
    <xf numFmtId="14" fontId="23" fillId="10" borderId="2" xfId="0" applyNumberFormat="1" applyFont="1" applyFill="1" applyBorder="1"/>
    <xf numFmtId="0" fontId="23" fillId="10" borderId="2" xfId="0" applyFont="1" applyFill="1" applyBorder="1"/>
    <xf numFmtId="0" fontId="11" fillId="10" borderId="2" xfId="0" applyFont="1" applyFill="1" applyBorder="1"/>
    <xf numFmtId="14" fontId="11" fillId="0" borderId="0" xfId="0" applyNumberFormat="1" applyFont="1"/>
    <xf numFmtId="0" fontId="12" fillId="3" borderId="2" xfId="0" applyFont="1" applyFill="1" applyBorder="1"/>
    <xf numFmtId="169" fontId="12" fillId="3" borderId="2" xfId="0" applyNumberFormat="1" applyFont="1" applyFill="1" applyBorder="1"/>
    <xf numFmtId="0" fontId="12" fillId="12" borderId="2" xfId="0" applyFont="1" applyFill="1" applyBorder="1"/>
    <xf numFmtId="165" fontId="11" fillId="7" borderId="2" xfId="0" applyNumberFormat="1" applyFont="1" applyFill="1" applyBorder="1"/>
    <xf numFmtId="0" fontId="12" fillId="0" borderId="0" xfId="0" applyFont="1" applyFill="1"/>
    <xf numFmtId="0" fontId="11" fillId="0" borderId="0" xfId="0" applyFont="1" applyFill="1"/>
    <xf numFmtId="2" fontId="11" fillId="0" borderId="0" xfId="0" applyNumberFormat="1" applyFont="1"/>
    <xf numFmtId="169" fontId="12" fillId="4" borderId="2" xfId="0" applyNumberFormat="1" applyFont="1" applyFill="1" applyBorder="1"/>
    <xf numFmtId="169" fontId="11" fillId="0" borderId="0" xfId="0" applyNumberFormat="1" applyFont="1"/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9" fillId="5" borderId="2" xfId="0" applyFont="1" applyFill="1" applyBorder="1"/>
    <xf numFmtId="0" fontId="19" fillId="5" borderId="3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u/>
        <color theme="9" tint="-0.24994659260841701"/>
      </font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B23" sqref="B23:D2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70" zoomScaleNormal="70" workbookViewId="0">
      <selection activeCell="E26" sqref="E2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9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10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895E-B287-49B5-B5B9-B76DAB3845C6}">
  <dimension ref="A1:M47"/>
  <sheetViews>
    <sheetView tabSelected="1" zoomScale="85" zoomScaleNormal="85" workbookViewId="0">
      <selection activeCell="D11" sqref="D11"/>
    </sheetView>
  </sheetViews>
  <sheetFormatPr defaultColWidth="15.5546875" defaultRowHeight="13.2" x14ac:dyDescent="0.25"/>
  <cols>
    <col min="1" max="3" width="15.5546875" style="13"/>
    <col min="4" max="4" width="15.5546875" style="66"/>
    <col min="5" max="6" width="15.5546875" style="13"/>
    <col min="7" max="8" width="18.77734375" style="13" customWidth="1"/>
    <col min="9" max="9" width="21.5546875" style="13" bestFit="1" customWidth="1"/>
    <col min="10" max="16384" width="15.5546875" style="13"/>
  </cols>
  <sheetData>
    <row r="1" spans="1:12" ht="15" customHeight="1" x14ac:dyDescent="0.25">
      <c r="A1" s="48" t="s">
        <v>19</v>
      </c>
      <c r="B1" s="48" t="s">
        <v>20</v>
      </c>
      <c r="C1" s="48" t="s">
        <v>21</v>
      </c>
      <c r="D1" s="49" t="s">
        <v>22</v>
      </c>
      <c r="E1" s="48" t="s">
        <v>23</v>
      </c>
      <c r="F1" s="48" t="s">
        <v>24</v>
      </c>
      <c r="G1" s="50" t="s">
        <v>132</v>
      </c>
      <c r="H1" s="50" t="s">
        <v>133</v>
      </c>
      <c r="I1" s="51" t="s">
        <v>134</v>
      </c>
    </row>
    <row r="2" spans="1:12" x14ac:dyDescent="0.25">
      <c r="A2" s="14" t="s">
        <v>25</v>
      </c>
      <c r="B2" s="14" t="s">
        <v>61</v>
      </c>
      <c r="C2" s="14" t="s">
        <v>27</v>
      </c>
      <c r="D2" s="52">
        <v>1000</v>
      </c>
      <c r="E2" s="14">
        <v>30</v>
      </c>
      <c r="F2" s="53" t="s">
        <v>28</v>
      </c>
      <c r="G2" s="54">
        <f>DATE(2024,MATCH(MID(A2,4,3),{"JAN","FEB","MAR","APR","MAY","JUN","JUL","AUG","SEP","OCT","NOV","DEC"},0),VALUE(LEFT(A2,2)))</f>
        <v>45319</v>
      </c>
      <c r="H2" s="55" t="str">
        <f>RIGHT(A2,2)</f>
        <v>US</v>
      </c>
      <c r="I2" s="56" t="str">
        <f>_xlfn.CONCAT(C2," ",B2)</f>
        <v>Dell Laptop</v>
      </c>
      <c r="K2" s="57"/>
    </row>
    <row r="3" spans="1:12" x14ac:dyDescent="0.25">
      <c r="A3" s="58" t="s">
        <v>29</v>
      </c>
      <c r="B3" s="58" t="s">
        <v>30</v>
      </c>
      <c r="C3" s="58" t="s">
        <v>31</v>
      </c>
      <c r="D3" s="59">
        <v>80</v>
      </c>
      <c r="E3" s="58">
        <v>15</v>
      </c>
      <c r="F3" s="60" t="s">
        <v>32</v>
      </c>
      <c r="G3" s="54">
        <f>DATE(2024,MATCH(MID(A3,4,3),{"JAN","FEB","MAR","APR","MAY","JUN","JUL","AUG","SEP","OCT","NOV","DEC"},0),VALUE(LEFT(A3,2)))</f>
        <v>45337</v>
      </c>
      <c r="H3" s="55" t="str">
        <f>RIGHT(A3,2)</f>
        <v>US</v>
      </c>
      <c r="I3" s="56" t="str">
        <f t="shared" ref="I3:I32" si="0">_xlfn.CONCAT(C3," ",B3)</f>
        <v>Nike Sneakers</v>
      </c>
    </row>
    <row r="4" spans="1:12" x14ac:dyDescent="0.25">
      <c r="A4" s="14" t="s">
        <v>33</v>
      </c>
      <c r="B4" s="14" t="s">
        <v>34</v>
      </c>
      <c r="C4" s="14" t="s">
        <v>35</v>
      </c>
      <c r="D4" s="52">
        <v>130</v>
      </c>
      <c r="E4" s="14">
        <v>40</v>
      </c>
      <c r="F4" s="53" t="s">
        <v>36</v>
      </c>
      <c r="G4" s="54">
        <f>DATE(2024,MATCH(MID(A4,4,3),{"JAN","FEB","MAR","APR","MAY","JUN","JUL","AUG","SEP","OCT","NOV","DEC"},0),VALUE(LEFT(A4,2)))</f>
        <v>45354</v>
      </c>
      <c r="H4" s="55" t="str">
        <f t="shared" ref="H3:H32" si="1">RIGHT(A4,2)</f>
        <v>US</v>
      </c>
      <c r="I4" s="56" t="str">
        <f t="shared" si="0"/>
        <v>Keurig Coffee Maker</v>
      </c>
    </row>
    <row r="5" spans="1:12" x14ac:dyDescent="0.25">
      <c r="A5" s="58" t="s">
        <v>37</v>
      </c>
      <c r="B5" s="58" t="s">
        <v>96</v>
      </c>
      <c r="C5" s="58" t="s">
        <v>39</v>
      </c>
      <c r="D5" s="59">
        <v>900</v>
      </c>
      <c r="E5" s="58">
        <v>25</v>
      </c>
      <c r="F5" s="60" t="s">
        <v>28</v>
      </c>
      <c r="G5" s="54">
        <f>DATE(2024,MATCH(MID(A5,4,3),{"JAN","FEB","MAR","APR","MAY","JUN","JUL","AUG","SEP","OCT","NOV","DEC"},0),VALUE(LEFT(A5,2)))</f>
        <v>45393</v>
      </c>
      <c r="H5" s="55" t="str">
        <f t="shared" si="1"/>
        <v>US</v>
      </c>
      <c r="I5" s="56" t="str">
        <f t="shared" si="0"/>
        <v>Samsung Smartphone</v>
      </c>
    </row>
    <row r="6" spans="1:12" x14ac:dyDescent="0.25">
      <c r="A6" s="14" t="s">
        <v>40</v>
      </c>
      <c r="B6" s="14" t="s">
        <v>41</v>
      </c>
      <c r="C6" s="14" t="s">
        <v>42</v>
      </c>
      <c r="D6" s="52">
        <v>70</v>
      </c>
      <c r="E6" s="14">
        <v>20</v>
      </c>
      <c r="F6" s="53" t="s">
        <v>32</v>
      </c>
      <c r="G6" s="54">
        <f>DATE(2024,MATCH(MID(A6,4,3),{"JAN","FEB","MAR","APR","MAY","JUN","JUL","AUG","SEP","OCT","NOV","DEC"},0),VALUE(LEFT(A6,2)))</f>
        <v>45434</v>
      </c>
      <c r="H6" s="55" t="str">
        <f t="shared" si="1"/>
        <v>US</v>
      </c>
      <c r="I6" s="56" t="str">
        <f t="shared" si="0"/>
        <v>North Face Backpack</v>
      </c>
    </row>
    <row r="7" spans="1:12" x14ac:dyDescent="0.25">
      <c r="A7" s="58" t="s">
        <v>43</v>
      </c>
      <c r="B7" s="58" t="s">
        <v>44</v>
      </c>
      <c r="C7" s="58" t="s">
        <v>45</v>
      </c>
      <c r="D7" s="61">
        <v>522.29999999999995</v>
      </c>
      <c r="E7" s="58">
        <v>45</v>
      </c>
      <c r="F7" s="60" t="s">
        <v>28</v>
      </c>
      <c r="G7" s="54">
        <f>DATE(2024,MATCH(MID(A7,4,3),{"JAN","FEB","MAR","APR","MAY","JUN","JUL","AUG","SEP","OCT","NOV","DEC"},0),VALUE(LEFT(A7,2)))</f>
        <v>45450</v>
      </c>
      <c r="H7" s="55" t="str">
        <f t="shared" si="1"/>
        <v>UK</v>
      </c>
      <c r="I7" s="56" t="str">
        <f t="shared" si="0"/>
        <v>Sony Headphones</v>
      </c>
    </row>
    <row r="8" spans="1:12" x14ac:dyDescent="0.25">
      <c r="A8" s="14" t="s">
        <v>47</v>
      </c>
      <c r="B8" s="14" t="s">
        <v>48</v>
      </c>
      <c r="C8" s="14" t="s">
        <v>49</v>
      </c>
      <c r="D8" s="52">
        <v>30</v>
      </c>
      <c r="E8" s="14">
        <v>5</v>
      </c>
      <c r="F8" s="53" t="s">
        <v>32</v>
      </c>
      <c r="G8" s="54">
        <f>DATE(2024,MATCH(MID(A8,4,3),{"JAN","FEB","MAR","APR","MAY","JUN","JUL","AUG","SEP","OCT","NOV","DEC"},0),VALUE(LEFT(A8,2)))</f>
        <v>45492</v>
      </c>
      <c r="H8" s="55" t="str">
        <f t="shared" si="1"/>
        <v>UK</v>
      </c>
      <c r="I8" s="56" t="str">
        <f t="shared" si="0"/>
        <v>Adidas T-shirt</v>
      </c>
    </row>
    <row r="9" spans="1:12" x14ac:dyDescent="0.25">
      <c r="A9" s="58" t="s">
        <v>50</v>
      </c>
      <c r="B9" s="58" t="s">
        <v>51</v>
      </c>
      <c r="C9" s="58" t="s">
        <v>52</v>
      </c>
      <c r="D9" s="59">
        <v>90</v>
      </c>
      <c r="E9" s="58">
        <v>35</v>
      </c>
      <c r="F9" s="60" t="s">
        <v>36</v>
      </c>
      <c r="G9" s="54">
        <f>DATE(2024,MATCH(MID(A9,4,3),{"JAN","FEB","MAR","APR","MAY","JUN","JUL","AUG","SEP","OCT","NOV","DEC"},0),VALUE(LEFT(A9,2)))</f>
        <v>45527</v>
      </c>
      <c r="H9" s="55" t="str">
        <f t="shared" si="1"/>
        <v>UK</v>
      </c>
      <c r="I9" s="56" t="str">
        <f t="shared" si="0"/>
        <v>Ninja Blender</v>
      </c>
      <c r="K9" s="62"/>
    </row>
    <row r="10" spans="1:12" x14ac:dyDescent="0.25">
      <c r="A10" s="14" t="s">
        <v>53</v>
      </c>
      <c r="B10" s="14" t="s">
        <v>54</v>
      </c>
      <c r="C10" s="14" t="s">
        <v>55</v>
      </c>
      <c r="D10" s="52">
        <v>500</v>
      </c>
      <c r="E10" s="14">
        <v>50</v>
      </c>
      <c r="F10" s="53" t="s">
        <v>28</v>
      </c>
      <c r="G10" s="54">
        <f>DATE(2024,MATCH(MID(A10,4,3),{"JAN","FEB","MAR","APR","MAY","JUN","JUL","AUG","SEP","OCT","NOV","DEC"},0),VALUE(LEFT(A10,2)))</f>
        <v>45540</v>
      </c>
      <c r="H10" s="55" t="str">
        <f t="shared" si="1"/>
        <v>UK</v>
      </c>
      <c r="I10" s="56" t="str">
        <f t="shared" si="0"/>
        <v>Apple Tablet</v>
      </c>
      <c r="K10" s="63"/>
    </row>
    <row r="11" spans="1:12" x14ac:dyDescent="0.25">
      <c r="A11" s="58" t="s">
        <v>56</v>
      </c>
      <c r="B11" s="58" t="s">
        <v>57</v>
      </c>
      <c r="C11" s="58" t="s">
        <v>58</v>
      </c>
      <c r="D11" s="59">
        <v>130</v>
      </c>
      <c r="E11" s="58">
        <v>10</v>
      </c>
      <c r="F11" s="60" t="s">
        <v>59</v>
      </c>
      <c r="G11" s="54">
        <f>DATE(2024,MATCH(MID(A11,4,3),{"JAN","FEB","MAR","APR","MAY","JUN","JUL","AUG","SEP","OCT","NOV","DEC"},0),VALUE(LEFT(A11,2)))</f>
        <v>45579</v>
      </c>
      <c r="H11" s="55" t="str">
        <f t="shared" si="1"/>
        <v>UK</v>
      </c>
      <c r="I11" s="56" t="str">
        <f t="shared" si="0"/>
        <v>Timberland Hiking Boots</v>
      </c>
      <c r="K11" s="62"/>
    </row>
    <row r="12" spans="1:12" x14ac:dyDescent="0.25">
      <c r="A12" s="14" t="s">
        <v>60</v>
      </c>
      <c r="B12" s="14" t="s">
        <v>61</v>
      </c>
      <c r="C12" s="14" t="s">
        <v>62</v>
      </c>
      <c r="D12" s="52">
        <v>950</v>
      </c>
      <c r="E12" s="14">
        <v>25</v>
      </c>
      <c r="F12" s="53" t="s">
        <v>28</v>
      </c>
      <c r="G12" s="54">
        <f>DATE(2024,MATCH(MID(A12,4,3),{"JAN","FEB","MAR","APR","MAY","JUN","JUL","AUG","SEP","OCT","NOV","DEC"},0),VALUE(LEFT(A12,2)))</f>
        <v>45460</v>
      </c>
      <c r="H12" s="55" t="str">
        <f t="shared" si="1"/>
        <v>IN</v>
      </c>
      <c r="I12" s="56" t="str">
        <f t="shared" si="0"/>
        <v>HP Laptop</v>
      </c>
    </row>
    <row r="13" spans="1:12" x14ac:dyDescent="0.25">
      <c r="A13" s="58" t="s">
        <v>63</v>
      </c>
      <c r="B13" s="58" t="s">
        <v>30</v>
      </c>
      <c r="C13" s="58" t="s">
        <v>49</v>
      </c>
      <c r="D13" s="59">
        <v>90</v>
      </c>
      <c r="E13" s="58">
        <v>40</v>
      </c>
      <c r="F13" s="60" t="s">
        <v>32</v>
      </c>
      <c r="G13" s="54">
        <f>DATE(2024,MATCH(MID(A13,4,3),{"JAN","FEB","MAR","APR","MAY","JUN","JUL","AUG","SEP","OCT","NOV","DEC"},0),VALUE(LEFT(A13,2)))</f>
        <v>45621</v>
      </c>
      <c r="H13" s="55" t="str">
        <f t="shared" si="1"/>
        <v>AU</v>
      </c>
      <c r="I13" s="56" t="str">
        <f t="shared" si="0"/>
        <v>Adidas Sneakers</v>
      </c>
    </row>
    <row r="14" spans="1:12" x14ac:dyDescent="0.25">
      <c r="A14" s="14" t="s">
        <v>64</v>
      </c>
      <c r="B14" s="14" t="s">
        <v>34</v>
      </c>
      <c r="C14" s="14" t="s">
        <v>65</v>
      </c>
      <c r="D14" s="52">
        <v>120</v>
      </c>
      <c r="E14" s="14">
        <v>35</v>
      </c>
      <c r="F14" s="53" t="s">
        <v>28</v>
      </c>
      <c r="G14" s="54">
        <f>DATE(2024,MATCH(MID(A14,4,3),{"JAN","FEB","MAR","APR","MAY","JUN","JUL","AUG","SEP","OCT","NOV","DEC"},0),VALUE(LEFT(A14,2)))</f>
        <v>45634</v>
      </c>
      <c r="H14" s="55" t="str">
        <f t="shared" si="1"/>
        <v>DE</v>
      </c>
      <c r="I14" s="56" t="str">
        <f t="shared" si="0"/>
        <v>Nespresso Coffee Maker</v>
      </c>
      <c r="K14" s="15"/>
      <c r="L14" s="64"/>
    </row>
    <row r="15" spans="1:12" x14ac:dyDescent="0.25">
      <c r="A15" s="58" t="s">
        <v>66</v>
      </c>
      <c r="B15" s="58" t="s">
        <v>67</v>
      </c>
      <c r="C15" s="58" t="s">
        <v>68</v>
      </c>
      <c r="D15" s="59">
        <v>150</v>
      </c>
      <c r="E15" s="58">
        <v>15</v>
      </c>
      <c r="F15" s="60" t="s">
        <v>28</v>
      </c>
      <c r="G15" s="54">
        <f>DATE(2024,MATCH(MID(A15,4,3),{"JAN","FEB","MAR","APR","MAY","JUN","JUL","AUG","SEP","OCT","NOV","DEC"},0),VALUE(LEFT(A15,2)))</f>
        <v>45340</v>
      </c>
      <c r="H15" s="55" t="str">
        <f t="shared" si="1"/>
        <v>CA</v>
      </c>
      <c r="I15" s="56" t="str">
        <f t="shared" si="0"/>
        <v>Fitbit Smartwatch</v>
      </c>
    </row>
    <row r="16" spans="1:12" x14ac:dyDescent="0.25">
      <c r="A16" s="14" t="s">
        <v>69</v>
      </c>
      <c r="B16" s="14" t="s">
        <v>44</v>
      </c>
      <c r="C16" s="14" t="s">
        <v>71</v>
      </c>
      <c r="D16" s="52">
        <v>250</v>
      </c>
      <c r="E16" s="14">
        <v>20</v>
      </c>
      <c r="F16" s="53" t="s">
        <v>28</v>
      </c>
      <c r="G16" s="54">
        <f>DATE(2024,MATCH(MID(A16,4,3),{"JAN","FEB","MAR","APR","MAY","JUN","JUL","AUG","SEP","OCT","NOV","DEC"},0),VALUE(LEFT(A16,2)))</f>
        <v>45398</v>
      </c>
      <c r="H16" s="55" t="str">
        <f t="shared" si="1"/>
        <v>ES</v>
      </c>
      <c r="I16" s="56" t="str">
        <f t="shared" si="0"/>
        <v>Bose Headphones</v>
      </c>
    </row>
    <row r="17" spans="1:13" x14ac:dyDescent="0.25">
      <c r="A17" s="58" t="s">
        <v>72</v>
      </c>
      <c r="B17" s="58" t="s">
        <v>73</v>
      </c>
      <c r="C17" s="58" t="s">
        <v>74</v>
      </c>
      <c r="D17" s="59">
        <v>50</v>
      </c>
      <c r="E17" s="58">
        <v>35</v>
      </c>
      <c r="F17" s="60" t="s">
        <v>75</v>
      </c>
      <c r="G17" s="54">
        <f>DATE(2024,MATCH(MID(A17,4,3),{"JAN","FEB","MAR","APR","MAY","JUN","JUL","AUG","SEP","OCT","NOV","DEC"},0),VALUE(LEFT(A17,2)))</f>
        <v>45525</v>
      </c>
      <c r="H17" s="55" t="str">
        <f t="shared" si="1"/>
        <v>CA</v>
      </c>
      <c r="I17" s="56" t="str">
        <f t="shared" si="0"/>
        <v>Samsonite Laptop Bag</v>
      </c>
    </row>
    <row r="18" spans="1:13" x14ac:dyDescent="0.25">
      <c r="A18" s="14" t="s">
        <v>76</v>
      </c>
      <c r="B18" s="14" t="s">
        <v>67</v>
      </c>
      <c r="C18" s="14" t="s">
        <v>77</v>
      </c>
      <c r="D18" s="52">
        <v>160</v>
      </c>
      <c r="E18" s="14">
        <v>15</v>
      </c>
      <c r="F18" s="53" t="s">
        <v>28</v>
      </c>
      <c r="G18" s="54">
        <f>DATE(2024,MATCH(MID(A18,4,3),{"JAN","FEB","MAR","APR","MAY","JUN","JUL","AUG","SEP","OCT","NOV","DEC"},0),VALUE(LEFT(A18,2)))</f>
        <v>45524</v>
      </c>
      <c r="H18" s="55" t="str">
        <f t="shared" si="1"/>
        <v>CN</v>
      </c>
      <c r="I18" s="56" t="str">
        <f t="shared" si="0"/>
        <v>Huawei Smartwatch</v>
      </c>
    </row>
    <row r="19" spans="1:13" ht="15.6" x14ac:dyDescent="0.3">
      <c r="A19" s="58" t="s">
        <v>78</v>
      </c>
      <c r="B19" s="58" t="s">
        <v>61</v>
      </c>
      <c r="C19" s="58" t="s">
        <v>79</v>
      </c>
      <c r="D19" s="59">
        <v>980</v>
      </c>
      <c r="E19" s="58">
        <v>10</v>
      </c>
      <c r="F19" s="60" t="s">
        <v>28</v>
      </c>
      <c r="G19" s="54">
        <f>DATE(2024,MATCH(MID(A19,4,3),{"JAN","FEB","MAR","APR","MAY","JUN","JUL","AUG","SEP","OCT","NOV","DEC"},0),VALUE(LEFT(A19,2)))</f>
        <v>45318</v>
      </c>
      <c r="H19" s="55" t="str">
        <f t="shared" si="1"/>
        <v>IT</v>
      </c>
      <c r="I19" s="56" t="str">
        <f t="shared" si="0"/>
        <v>Asus Laptop</v>
      </c>
      <c r="K19" s="69" t="s">
        <v>131</v>
      </c>
      <c r="L19" s="69"/>
      <c r="M19" s="70">
        <f>AVERAGEIF(F2:F32,"Electronics",D2:D32)</f>
        <v>522.30714285714282</v>
      </c>
    </row>
    <row r="20" spans="1:13" ht="15.6" x14ac:dyDescent="0.3">
      <c r="A20" s="14" t="s">
        <v>80</v>
      </c>
      <c r="B20" s="14" t="s">
        <v>81</v>
      </c>
      <c r="C20" s="14" t="s">
        <v>82</v>
      </c>
      <c r="D20" s="52">
        <v>150</v>
      </c>
      <c r="E20" s="14">
        <v>15</v>
      </c>
      <c r="F20" s="53" t="s">
        <v>32</v>
      </c>
      <c r="G20" s="54">
        <f>DATE(2024,MATCH(MID(A20,4,3),{"JAN","FEB","MAR","APR","MAY","JUN","JUL","AUG","SEP","OCT","NOV","DEC"},0),VALUE(LEFT(A20,2)))</f>
        <v>45352</v>
      </c>
      <c r="H20" s="55" t="str">
        <f t="shared" si="1"/>
        <v>UK</v>
      </c>
      <c r="I20" s="56" t="str">
        <f t="shared" si="0"/>
        <v>Oakley Sunglasses</v>
      </c>
      <c r="K20" s="71"/>
      <c r="L20" s="72"/>
      <c r="M20" s="73"/>
    </row>
    <row r="21" spans="1:13" ht="15.6" x14ac:dyDescent="0.3">
      <c r="A21" s="58" t="s">
        <v>83</v>
      </c>
      <c r="B21" s="58" t="s">
        <v>84</v>
      </c>
      <c r="C21" s="58" t="s">
        <v>85</v>
      </c>
      <c r="D21" s="65">
        <v>130</v>
      </c>
      <c r="E21" s="58">
        <v>10</v>
      </c>
      <c r="F21" s="60" t="s">
        <v>59</v>
      </c>
      <c r="G21" s="54">
        <f>DATE(2024,MATCH(MID(A21,4,3),{"JAN","FEB","MAR","APR","MAY","JUN","JUL","AUG","SEP","OCT","NOV","DEC"},0),VALUE(LEFT(A21,2)))</f>
        <v>45518</v>
      </c>
      <c r="H21" s="55" t="str">
        <f t="shared" si="1"/>
        <v>US</v>
      </c>
      <c r="I21" s="56" t="str">
        <f t="shared" si="0"/>
        <v>Coleman Camping Tent</v>
      </c>
      <c r="K21" s="69" t="s">
        <v>129</v>
      </c>
      <c r="L21" s="69"/>
      <c r="M21" s="70">
        <f>AVERAGEIF(F2:F32,"Outdoor",D2:D32)</f>
        <v>130</v>
      </c>
    </row>
    <row r="22" spans="1:13" ht="15.6" x14ac:dyDescent="0.3">
      <c r="A22" s="14" t="s">
        <v>86</v>
      </c>
      <c r="B22" s="14" t="s">
        <v>87</v>
      </c>
      <c r="C22" s="14" t="s">
        <v>88</v>
      </c>
      <c r="D22" s="52">
        <v>700</v>
      </c>
      <c r="E22" s="14">
        <v>50</v>
      </c>
      <c r="F22" s="53" t="s">
        <v>28</v>
      </c>
      <c r="G22" s="54">
        <f>DATE(2024,MATCH(MID(A22,4,3),{"JAN","FEB","MAR","APR","MAY","JUN","JUL","AUG","SEP","OCT","NOV","DEC"},0),VALUE(LEFT(A22,2)))</f>
        <v>45426</v>
      </c>
      <c r="H22" s="55" t="str">
        <f t="shared" si="1"/>
        <v>RU</v>
      </c>
      <c r="I22" s="56" t="str">
        <f t="shared" si="0"/>
        <v>Nikon Camera</v>
      </c>
      <c r="K22" s="71"/>
      <c r="L22" s="72"/>
      <c r="M22" s="73"/>
    </row>
    <row r="23" spans="1:13" ht="15.6" x14ac:dyDescent="0.3">
      <c r="A23" s="58" t="s">
        <v>89</v>
      </c>
      <c r="B23" s="58" t="s">
        <v>90</v>
      </c>
      <c r="C23" s="58" t="s">
        <v>91</v>
      </c>
      <c r="D23" s="59">
        <v>80</v>
      </c>
      <c r="E23" s="58">
        <v>20</v>
      </c>
      <c r="F23" s="60" t="s">
        <v>36</v>
      </c>
      <c r="G23" s="54">
        <f>DATE(2024,MATCH(MID(A23,4,3),{"JAN","FEB","MAR","APR","MAY","JUN","JUL","AUG","SEP","OCT","NOV","DEC"},0),VALUE(LEFT(A23,2)))</f>
        <v>45300</v>
      </c>
      <c r="H23" s="55" t="str">
        <f t="shared" si="1"/>
        <v>CA</v>
      </c>
      <c r="I23" s="56" t="str">
        <f t="shared" si="0"/>
        <v>Panasonic Microwave</v>
      </c>
      <c r="K23" s="69" t="s">
        <v>130</v>
      </c>
      <c r="L23" s="69"/>
      <c r="M23" s="70">
        <f>AVERAGEIF(F2:F32,"Fashion",D2:D32)</f>
        <v>75.713750000000005</v>
      </c>
    </row>
    <row r="24" spans="1:13" x14ac:dyDescent="0.25">
      <c r="A24" s="14" t="s">
        <v>92</v>
      </c>
      <c r="B24" s="14" t="s">
        <v>93</v>
      </c>
      <c r="C24" s="14" t="s">
        <v>94</v>
      </c>
      <c r="D24" s="52">
        <v>150</v>
      </c>
      <c r="E24" s="14">
        <v>30</v>
      </c>
      <c r="F24" s="53" t="s">
        <v>28</v>
      </c>
      <c r="G24" s="54">
        <f>DATE(2024,MATCH(MID(A24,4,3),{"JAN","FEB","MAR","APR","MAY","JUN","JUL","AUG","SEP","OCT","NOV","DEC"},0),VALUE(LEFT(A24,2)))</f>
        <v>45492</v>
      </c>
      <c r="H24" s="55" t="str">
        <f t="shared" si="1"/>
        <v>BR</v>
      </c>
      <c r="I24" s="56" t="str">
        <f t="shared" si="0"/>
        <v>Xiaomi Fitness Tracker</v>
      </c>
    </row>
    <row r="25" spans="1:13" x14ac:dyDescent="0.25">
      <c r="A25" s="14" t="s">
        <v>95</v>
      </c>
      <c r="B25" s="14" t="s">
        <v>96</v>
      </c>
      <c r="C25" s="14" t="s">
        <v>97</v>
      </c>
      <c r="D25" s="52">
        <v>800</v>
      </c>
      <c r="E25" s="14">
        <v>45</v>
      </c>
      <c r="F25" s="53" t="s">
        <v>28</v>
      </c>
      <c r="G25" s="54">
        <f>DATE(2024,MATCH(MID(A25,4,3),{"JAN","FEB","MAR","APR","MAY","JUN","JUL","AUG","SEP","OCT","NOV","DEC"},0),VALUE(LEFT(A25,2)))</f>
        <v>45564</v>
      </c>
      <c r="H25" s="55" t="str">
        <f t="shared" si="1"/>
        <v>CA</v>
      </c>
      <c r="I25" s="56" t="str">
        <f t="shared" si="0"/>
        <v>Google Smartphone</v>
      </c>
    </row>
    <row r="26" spans="1:13" x14ac:dyDescent="0.25">
      <c r="A26" s="58" t="s">
        <v>98</v>
      </c>
      <c r="B26" s="58" t="s">
        <v>81</v>
      </c>
      <c r="C26" s="58" t="s">
        <v>99</v>
      </c>
      <c r="D26" s="65">
        <v>75.709999999999994</v>
      </c>
      <c r="E26" s="58">
        <v>25</v>
      </c>
      <c r="F26" s="60" t="s">
        <v>32</v>
      </c>
      <c r="G26" s="54">
        <f>DATE(2024,MATCH(MID(A26,4,3),{"JAN","FEB","MAR","APR","MAY","JUN","JUL","AUG","SEP","OCT","NOV","DEC"},0),VALUE(LEFT(A26,2)))</f>
        <v>45446</v>
      </c>
      <c r="H26" s="55" t="str">
        <f t="shared" si="1"/>
        <v>CA</v>
      </c>
      <c r="I26" s="56" t="str">
        <f t="shared" si="0"/>
        <v>Ray-Ban Sunglasses</v>
      </c>
    </row>
    <row r="27" spans="1:13" x14ac:dyDescent="0.25">
      <c r="A27" s="14" t="s">
        <v>100</v>
      </c>
      <c r="B27" s="14" t="s">
        <v>51</v>
      </c>
      <c r="C27" s="14" t="s">
        <v>101</v>
      </c>
      <c r="D27" s="52">
        <v>400</v>
      </c>
      <c r="E27" s="14">
        <v>40</v>
      </c>
      <c r="F27" s="53" t="s">
        <v>36</v>
      </c>
      <c r="G27" s="54">
        <f>DATE(2024,MATCH(MID(A27,4,3),{"JAN","FEB","MAR","APR","MAY","JUN","JUL","AUG","SEP","OCT","NOV","DEC"},0),VALUE(LEFT(A27,2)))</f>
        <v>45484</v>
      </c>
      <c r="H27" s="55" t="str">
        <f t="shared" si="1"/>
        <v>CA</v>
      </c>
      <c r="I27" s="56" t="str">
        <f t="shared" si="0"/>
        <v>Vitamix Blender</v>
      </c>
    </row>
    <row r="28" spans="1:13" x14ac:dyDescent="0.25">
      <c r="A28" s="14" t="s">
        <v>102</v>
      </c>
      <c r="B28" s="14" t="s">
        <v>103</v>
      </c>
      <c r="C28" s="14" t="s">
        <v>104</v>
      </c>
      <c r="D28" s="52">
        <v>60</v>
      </c>
      <c r="E28" s="14">
        <v>30</v>
      </c>
      <c r="F28" s="53" t="s">
        <v>32</v>
      </c>
      <c r="G28" s="54">
        <f>DATE(2024,MATCH(MID(A28,4,3),{"JAN","FEB","MAR","APR","MAY","JUN","JUL","AUG","SEP","OCT","NOV","DEC"},0),VALUE(LEFT(A28,2)))</f>
        <v>45358</v>
      </c>
      <c r="H28" s="55" t="str">
        <f t="shared" si="1"/>
        <v>CA</v>
      </c>
      <c r="I28" s="56" t="str">
        <f t="shared" si="0"/>
        <v>Zara Dress</v>
      </c>
    </row>
    <row r="29" spans="1:13" x14ac:dyDescent="0.25">
      <c r="A29" s="58" t="s">
        <v>105</v>
      </c>
      <c r="B29" s="58" t="s">
        <v>106</v>
      </c>
      <c r="C29" s="58" t="s">
        <v>107</v>
      </c>
      <c r="D29" s="59">
        <v>40</v>
      </c>
      <c r="E29" s="58">
        <v>10</v>
      </c>
      <c r="F29" s="60" t="s">
        <v>36</v>
      </c>
      <c r="G29" s="54">
        <f>DATE(2024,MATCH(MID(A29,4,3),{"JAN","FEB","MAR","APR","MAY","JUN","JUL","AUG","SEP","OCT","NOV","DEC"},0),VALUE(LEFT(A29,2)))</f>
        <v>45395</v>
      </c>
      <c r="H29" s="55" t="str">
        <f t="shared" si="1"/>
        <v>CA</v>
      </c>
      <c r="I29" s="56" t="str">
        <f t="shared" si="0"/>
        <v>Hamilton Toaster</v>
      </c>
    </row>
    <row r="30" spans="1:13" x14ac:dyDescent="0.25">
      <c r="A30" s="14" t="s">
        <v>108</v>
      </c>
      <c r="B30" s="14" t="s">
        <v>93</v>
      </c>
      <c r="C30" s="14" t="s">
        <v>109</v>
      </c>
      <c r="D30" s="52">
        <v>130</v>
      </c>
      <c r="E30" s="14">
        <v>5</v>
      </c>
      <c r="F30" s="53" t="s">
        <v>28</v>
      </c>
      <c r="G30" s="54">
        <f>DATE(2024,MATCH(MID(A30,4,3),{"JAN","FEB","MAR","APR","MAY","JUN","JUL","AUG","SEP","OCT","NOV","DEC"},0),VALUE(LEFT(A30,2)))</f>
        <v>45436</v>
      </c>
      <c r="H30" s="55" t="str">
        <f t="shared" si="1"/>
        <v>CA</v>
      </c>
      <c r="I30" s="56" t="str">
        <f t="shared" si="0"/>
        <v>Garmin Fitness Tracker</v>
      </c>
    </row>
    <row r="31" spans="1:13" x14ac:dyDescent="0.25">
      <c r="A31" s="58" t="s">
        <v>110</v>
      </c>
      <c r="B31" s="58" t="s">
        <v>111</v>
      </c>
      <c r="C31" s="58" t="s">
        <v>112</v>
      </c>
      <c r="D31" s="59">
        <v>50</v>
      </c>
      <c r="E31" s="58">
        <v>50</v>
      </c>
      <c r="F31" s="60" t="s">
        <v>32</v>
      </c>
      <c r="G31" s="54">
        <f>DATE(2024,MATCH(MID(A31,4,3),{"JAN","FEB","MAR","APR","MAY","JUN","JUL","AUG","SEP","OCT","NOV","DEC"},0),VALUE(LEFT(A31,2)))</f>
        <v>45628</v>
      </c>
      <c r="H31" s="55" t="str">
        <f t="shared" si="1"/>
        <v>CA</v>
      </c>
      <c r="I31" s="56" t="str">
        <f t="shared" si="0"/>
        <v>Levi's Jeans</v>
      </c>
    </row>
    <row r="32" spans="1:13" x14ac:dyDescent="0.25">
      <c r="A32" s="58" t="s">
        <v>113</v>
      </c>
      <c r="B32" s="58" t="s">
        <v>114</v>
      </c>
      <c r="C32" s="58" t="s">
        <v>115</v>
      </c>
      <c r="D32" s="59">
        <v>100</v>
      </c>
      <c r="E32" s="58">
        <v>20</v>
      </c>
      <c r="F32" s="60" t="s">
        <v>75</v>
      </c>
      <c r="G32" s="54">
        <f>DATE(2024,MATCH(MID(A32,4,3),{"JAN","FEB","MAR","APR","MAY","JUN","JUL","AUG","SEP","OCT","NOV","DEC"},0),VALUE(LEFT(A32,2)))</f>
        <v>45482</v>
      </c>
      <c r="H32" s="55" t="str">
        <f t="shared" si="1"/>
        <v>FR</v>
      </c>
      <c r="I32" s="56" t="str">
        <f t="shared" si="0"/>
        <v>Casio Watch</v>
      </c>
    </row>
    <row r="35" spans="7:11" x14ac:dyDescent="0.25">
      <c r="K35" s="13" t="s">
        <v>128</v>
      </c>
    </row>
    <row r="43" spans="7:11" x14ac:dyDescent="0.25">
      <c r="G43" s="67"/>
      <c r="H43" s="67"/>
    </row>
    <row r="44" spans="7:11" x14ac:dyDescent="0.25">
      <c r="G44" s="68"/>
      <c r="H44" s="68"/>
    </row>
    <row r="45" spans="7:11" x14ac:dyDescent="0.25">
      <c r="G45" s="67"/>
      <c r="H45" s="67"/>
    </row>
    <row r="46" spans="7:11" x14ac:dyDescent="0.25">
      <c r="G46" s="68"/>
      <c r="H46" s="68"/>
    </row>
    <row r="47" spans="7:11" x14ac:dyDescent="0.25">
      <c r="G47" s="67"/>
      <c r="H47" s="67"/>
    </row>
  </sheetData>
  <mergeCells count="5">
    <mergeCell ref="K19:L19"/>
    <mergeCell ref="K21:L21"/>
    <mergeCell ref="K23:L23"/>
    <mergeCell ref="K20:M20"/>
    <mergeCell ref="K22:M22"/>
  </mergeCells>
  <conditionalFormatting sqref="D2:D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{42E070E5-AF60-4A14-AED7-C5A3F0263697}</x14:id>
        </ext>
      </extLst>
    </cfRule>
  </conditionalFormatting>
  <conditionalFormatting sqref="F2:F32">
    <cfRule type="expression" dxfId="1" priority="1">
      <formula>$F2="Electronics"</formula>
    </cfRule>
    <cfRule type="expression" dxfId="0" priority="2">
      <formula>$F2="Electronics"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E070E5-AF60-4A14-AED7-C5A3F02636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551E-C844-436B-9428-1A2D1EFA2CF7}">
  <dimension ref="A1:L36"/>
  <sheetViews>
    <sheetView zoomScale="85" zoomScaleNormal="85" workbookViewId="0">
      <selection activeCell="B9" sqref="B9:I9"/>
    </sheetView>
  </sheetViews>
  <sheetFormatPr defaultRowHeight="15.6" x14ac:dyDescent="0.3"/>
  <cols>
    <col min="1" max="1" width="14.5546875" style="16" bestFit="1" customWidth="1"/>
    <col min="2" max="2" width="20" style="16" customWidth="1"/>
    <col min="3" max="3" width="24.33203125" style="16" customWidth="1"/>
    <col min="4" max="4" width="94" style="16" bestFit="1" customWidth="1"/>
    <col min="5" max="16384" width="8.88671875" style="16"/>
  </cols>
  <sheetData>
    <row r="1" spans="1:9" ht="15" customHeight="1" x14ac:dyDescent="0.3"/>
    <row r="2" spans="1:9" ht="46.8" customHeight="1" x14ac:dyDescent="0.3">
      <c r="A2" s="17"/>
      <c r="D2" s="46" t="s">
        <v>146</v>
      </c>
    </row>
    <row r="3" spans="1:9" ht="15.6" customHeight="1" x14ac:dyDescent="0.3">
      <c r="B3" s="39" t="s">
        <v>1</v>
      </c>
      <c r="C3" s="39"/>
      <c r="D3" s="18"/>
    </row>
    <row r="4" spans="1:9" ht="46.8" x14ac:dyDescent="0.3">
      <c r="A4" s="19"/>
      <c r="B4" s="20" t="s">
        <v>116</v>
      </c>
      <c r="C4" s="20" t="s">
        <v>117</v>
      </c>
      <c r="D4" s="21" t="s">
        <v>147</v>
      </c>
    </row>
    <row r="5" spans="1:9" ht="18.600000000000001" customHeight="1" x14ac:dyDescent="0.3">
      <c r="A5" s="19"/>
      <c r="B5" s="18" t="s">
        <v>118</v>
      </c>
      <c r="C5" s="18" t="s">
        <v>119</v>
      </c>
      <c r="D5" s="22" t="s">
        <v>121</v>
      </c>
    </row>
    <row r="6" spans="1:9" x14ac:dyDescent="0.3">
      <c r="A6" s="19"/>
    </row>
    <row r="8" spans="1:9" ht="17.399999999999999" x14ac:dyDescent="0.3">
      <c r="B8" s="40" t="s">
        <v>135</v>
      </c>
      <c r="C8" s="40"/>
      <c r="D8" s="40"/>
      <c r="E8" s="40"/>
      <c r="F8" s="40"/>
      <c r="G8" s="40"/>
      <c r="H8" s="40"/>
      <c r="I8" s="40"/>
    </row>
    <row r="9" spans="1:9" x14ac:dyDescent="0.3">
      <c r="B9" s="23"/>
      <c r="C9" s="23"/>
      <c r="D9" s="23"/>
      <c r="E9" s="23"/>
      <c r="F9" s="23"/>
      <c r="G9" s="23"/>
      <c r="H9" s="23"/>
      <c r="I9" s="23"/>
    </row>
    <row r="10" spans="1:9" ht="13.8" customHeight="1" x14ac:dyDescent="0.3">
      <c r="B10" s="20" t="s">
        <v>123</v>
      </c>
      <c r="C10" s="20" t="s">
        <v>120</v>
      </c>
      <c r="D10" s="24" t="s">
        <v>122</v>
      </c>
      <c r="E10" s="25"/>
      <c r="F10" s="25"/>
      <c r="G10" s="25"/>
      <c r="H10" s="25"/>
      <c r="I10" s="26"/>
    </row>
    <row r="11" spans="1:9" ht="26.4" customHeight="1" x14ac:dyDescent="0.3">
      <c r="B11" s="20" t="s">
        <v>124</v>
      </c>
      <c r="C11" s="20" t="s">
        <v>125</v>
      </c>
      <c r="D11" s="27" t="s">
        <v>136</v>
      </c>
      <c r="E11" s="28"/>
      <c r="F11" s="28"/>
      <c r="G11" s="28"/>
      <c r="H11" s="28"/>
      <c r="I11" s="29"/>
    </row>
    <row r="12" spans="1:9" x14ac:dyDescent="0.3">
      <c r="C12" s="30"/>
      <c r="D12" s="30"/>
      <c r="E12" s="30"/>
    </row>
    <row r="13" spans="1:9" x14ac:dyDescent="0.3">
      <c r="C13" s="31"/>
      <c r="D13" s="31"/>
      <c r="E13" s="32"/>
    </row>
    <row r="14" spans="1:9" ht="18" x14ac:dyDescent="0.35">
      <c r="B14" s="42" t="s">
        <v>8</v>
      </c>
      <c r="C14" s="44"/>
      <c r="D14" s="41"/>
      <c r="E14" s="35"/>
    </row>
    <row r="15" spans="1:9" x14ac:dyDescent="0.3">
      <c r="B15" s="33"/>
      <c r="C15" s="36"/>
      <c r="D15" s="34"/>
    </row>
    <row r="16" spans="1:9" x14ac:dyDescent="0.3">
      <c r="B16" s="20" t="s">
        <v>126</v>
      </c>
      <c r="C16" s="20" t="s">
        <v>127</v>
      </c>
      <c r="D16" s="20" t="s">
        <v>137</v>
      </c>
    </row>
    <row r="18" spans="1:12" x14ac:dyDescent="0.3">
      <c r="E18" s="47"/>
      <c r="F18" s="47"/>
      <c r="G18" s="47"/>
    </row>
    <row r="19" spans="1:12" ht="18" customHeight="1" x14ac:dyDescent="0.35">
      <c r="B19" s="42" t="s">
        <v>10</v>
      </c>
      <c r="C19" s="43"/>
      <c r="D19" s="12"/>
      <c r="E19" s="45"/>
      <c r="F19" s="45"/>
      <c r="G19" s="45"/>
      <c r="H19" s="18"/>
      <c r="I19" s="18"/>
      <c r="J19" s="18"/>
      <c r="K19" s="18"/>
      <c r="L19" s="18"/>
    </row>
    <row r="20" spans="1:12" ht="15.6" customHeight="1" x14ac:dyDescent="0.3">
      <c r="B20" s="18"/>
      <c r="C20" s="18"/>
      <c r="D20" s="18"/>
      <c r="E20" s="45"/>
      <c r="F20" s="45"/>
      <c r="G20" s="45"/>
      <c r="H20" s="18"/>
      <c r="I20" s="18"/>
      <c r="J20" s="18"/>
      <c r="K20" s="18"/>
      <c r="L20" s="18"/>
    </row>
    <row r="21" spans="1:12" ht="15.6" customHeight="1" x14ac:dyDescent="0.3">
      <c r="B21" s="37" t="s">
        <v>139</v>
      </c>
      <c r="C21" s="18"/>
      <c r="D21" s="18"/>
      <c r="E21" s="45"/>
      <c r="F21" s="45"/>
      <c r="G21" s="45"/>
      <c r="H21" s="18"/>
      <c r="I21" s="18"/>
      <c r="J21" s="18"/>
      <c r="K21" s="18"/>
      <c r="L21" s="18"/>
    </row>
    <row r="22" spans="1:12" ht="15.6" customHeight="1" x14ac:dyDescent="0.3">
      <c r="B22" s="45" t="s">
        <v>144</v>
      </c>
      <c r="C22" s="45"/>
      <c r="D22" s="45"/>
      <c r="E22" s="45"/>
      <c r="F22" s="45"/>
      <c r="G22" s="45"/>
      <c r="H22" s="45"/>
      <c r="I22" s="45"/>
      <c r="J22" s="45"/>
      <c r="K22" s="18"/>
      <c r="L22" s="18"/>
    </row>
    <row r="23" spans="1:12" ht="15.6" customHeight="1" x14ac:dyDescent="0.3">
      <c r="B23" s="45"/>
      <c r="C23" s="45"/>
      <c r="D23" s="45"/>
      <c r="E23" s="45"/>
      <c r="F23" s="45"/>
      <c r="G23" s="45"/>
      <c r="H23" s="45"/>
      <c r="I23" s="45"/>
      <c r="J23" s="45"/>
      <c r="K23" s="18"/>
      <c r="L23" s="18"/>
    </row>
    <row r="24" spans="1:12" ht="15.6" customHeight="1" x14ac:dyDescent="0.3">
      <c r="A24" s="38"/>
      <c r="B24" s="45" t="s">
        <v>145</v>
      </c>
      <c r="C24" s="45"/>
      <c r="D24" s="45"/>
      <c r="E24" s="45"/>
      <c r="F24" s="45"/>
      <c r="G24" s="45"/>
      <c r="H24" s="18"/>
      <c r="I24" s="18"/>
      <c r="J24" s="18"/>
      <c r="K24" s="18"/>
      <c r="L24" s="18"/>
    </row>
    <row r="25" spans="1:12" ht="15.6" customHeight="1" x14ac:dyDescent="0.3">
      <c r="B25" s="18"/>
      <c r="C25" s="18"/>
      <c r="D25" s="45"/>
      <c r="E25" s="45"/>
      <c r="F25" s="45"/>
      <c r="G25" s="45"/>
      <c r="H25" s="18"/>
      <c r="I25" s="18"/>
      <c r="J25" s="18"/>
      <c r="K25" s="18"/>
      <c r="L25" s="18"/>
    </row>
    <row r="26" spans="1:12" ht="15.6" customHeight="1" x14ac:dyDescent="0.3">
      <c r="B26" s="18" t="s">
        <v>138</v>
      </c>
      <c r="C26" s="18"/>
      <c r="D26" s="45"/>
      <c r="E26" s="45"/>
      <c r="F26" s="45"/>
      <c r="G26" s="45"/>
      <c r="H26" s="18"/>
      <c r="I26" s="18"/>
      <c r="J26" s="18"/>
      <c r="K26" s="18"/>
      <c r="L26" s="18"/>
    </row>
    <row r="29" spans="1:12" ht="18" x14ac:dyDescent="0.35">
      <c r="B29" s="42" t="s">
        <v>13</v>
      </c>
      <c r="C29" s="43"/>
      <c r="D29" s="12"/>
    </row>
    <row r="30" spans="1:12" x14ac:dyDescent="0.3">
      <c r="B30" s="33"/>
      <c r="C30" s="36"/>
      <c r="D30" s="34"/>
    </row>
    <row r="31" spans="1:12" x14ac:dyDescent="0.3">
      <c r="B31" s="18" t="s">
        <v>140</v>
      </c>
      <c r="C31" s="18"/>
      <c r="D31" s="18"/>
    </row>
    <row r="32" spans="1:12" x14ac:dyDescent="0.3">
      <c r="B32" s="12" t="s">
        <v>141</v>
      </c>
      <c r="C32" s="12"/>
      <c r="D32" s="12"/>
      <c r="E32" s="11"/>
      <c r="F32" s="11"/>
      <c r="G32" s="11"/>
      <c r="H32" s="11"/>
    </row>
    <row r="34" spans="2:4" ht="18" x14ac:dyDescent="0.35">
      <c r="B34" s="42" t="s">
        <v>16</v>
      </c>
      <c r="C34" s="43"/>
      <c r="D34" s="12"/>
    </row>
    <row r="35" spans="2:4" x14ac:dyDescent="0.3">
      <c r="B35" s="18" t="s">
        <v>142</v>
      </c>
      <c r="C35" s="18"/>
      <c r="D35" s="18"/>
    </row>
    <row r="36" spans="2:4" x14ac:dyDescent="0.3">
      <c r="B36" s="18" t="s">
        <v>143</v>
      </c>
      <c r="C36" s="18"/>
      <c r="D36" s="18"/>
    </row>
  </sheetData>
  <mergeCells count="7">
    <mergeCell ref="B30:D30"/>
    <mergeCell ref="D11:I11"/>
    <mergeCell ref="D10:I10"/>
    <mergeCell ref="B15:D15"/>
    <mergeCell ref="B3:C3"/>
    <mergeCell ref="B8:I8"/>
    <mergeCell ref="B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</dc:creator>
  <cp:lastModifiedBy>sidharth s</cp:lastModifiedBy>
  <dcterms:created xsi:type="dcterms:W3CDTF">2026-09-20T19:29:32Z</dcterms:created>
  <dcterms:modified xsi:type="dcterms:W3CDTF">2026-09-21T16:32:29Z</dcterms:modified>
</cp:coreProperties>
</file>